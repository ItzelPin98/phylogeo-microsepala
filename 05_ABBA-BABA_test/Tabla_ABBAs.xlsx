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tziliwi/Dropbox/ARTICULO_MICRO_2026/02_art_Ushaped_micro_REV1/"/>
    </mc:Choice>
  </mc:AlternateContent>
  <xr:revisionPtr revIDLastSave="0" documentId="13_ncr:1_{F3C3063C-BDBD-D540-B153-B905439B1AE3}" xr6:coauthVersionLast="47" xr6:coauthVersionMax="47" xr10:uidLastSave="{00000000-0000-0000-0000-000000000000}"/>
  <bookViews>
    <workbookView xWindow="4660" yWindow="500" windowWidth="24140" windowHeight="16300" xr2:uid="{643335A7-8739-1A48-85EA-6141F80417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8" i="1"/>
  <c r="B7" i="1"/>
  <c r="B6" i="1"/>
  <c r="B5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9" i="1"/>
</calcChain>
</file>

<file path=xl/sharedStrings.xml><?xml version="1.0" encoding="utf-8"?>
<sst xmlns="http://schemas.openxmlformats.org/spreadsheetml/2006/main" count="260" uniqueCount="31">
  <si>
    <t>P1</t>
  </si>
  <si>
    <t>P2</t>
  </si>
  <si>
    <t>P3</t>
  </si>
  <si>
    <t>P4</t>
  </si>
  <si>
    <t>D-statistic</t>
  </si>
  <si>
    <t>Z-score</t>
  </si>
  <si>
    <t>IST</t>
  </si>
  <si>
    <t>PCH</t>
  </si>
  <si>
    <t>ATN</t>
  </si>
  <si>
    <t>OUT</t>
  </si>
  <si>
    <t>–</t>
  </si>
  <si>
    <t>ISN</t>
  </si>
  <si>
    <t>ISN-ATN</t>
  </si>
  <si>
    <t>PSU</t>
  </si>
  <si>
    <t>PNO</t>
  </si>
  <si>
    <t>PCE</t>
  </si>
  <si>
    <t>PCE-PNO</t>
  </si>
  <si>
    <t>POO</t>
  </si>
  <si>
    <t>ACE</t>
  </si>
  <si>
    <t>POR</t>
  </si>
  <si>
    <t>ACO</t>
  </si>
  <si>
    <t xml:space="preserve">PNO </t>
  </si>
  <si>
    <t>accept Ha</t>
  </si>
  <si>
    <t>gene flow between</t>
  </si>
  <si>
    <t>*</t>
  </si>
  <si>
    <t>yes</t>
  </si>
  <si>
    <t>no</t>
  </si>
  <si>
    <t>Ha: gene-flow  
(under D&gt;0)</t>
  </si>
  <si>
    <t>std. error</t>
  </si>
  <si>
    <t>n sites ABBA</t>
  </si>
  <si>
    <t>n sites BABA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</si>
</sst>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left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164" fontId="3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A5A89-E4CE-5C4F-BC96-1A9CAEE5C3B2}">
  <dimension ref="B4:N44"/>
  <sheetViews>
    <sheetView tabSelected="1" zoomScale="142" zoomScaleNormal="142" workbookViewId="0">
      <selection activeCell="N8" sqref="N8"/>
    </sheetView>
  </sheetViews>
  <sheetFormatPr baseColWidth="10" defaultRowHeight="16" x14ac:dyDescent="0.2"/>
  <cols>
    <col min="2" max="2" width="12.6640625" style="1" bestFit="1" customWidth="1"/>
    <col min="3" max="6" width="5.33203125" customWidth="1"/>
    <col min="7" max="8" width="7" customWidth="1"/>
    <col min="9" max="9" width="10.1640625" bestFit="1" customWidth="1"/>
    <col min="10" max="10" width="8.83203125" bestFit="1" customWidth="1"/>
    <col min="11" max="11" width="7.5" bestFit="1" customWidth="1"/>
    <col min="12" max="12" width="2.6640625" bestFit="1" customWidth="1"/>
    <col min="13" max="13" width="9.5" bestFit="1" customWidth="1"/>
    <col min="14" max="14" width="9.1640625" bestFit="1" customWidth="1"/>
  </cols>
  <sheetData>
    <row r="4" spans="2:14" ht="34" customHeight="1" x14ac:dyDescent="0.2">
      <c r="B4" s="2" t="s">
        <v>27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29</v>
      </c>
      <c r="H4" s="2" t="s">
        <v>30</v>
      </c>
      <c r="I4" s="2" t="s">
        <v>4</v>
      </c>
      <c r="J4" s="2" t="s">
        <v>28</v>
      </c>
      <c r="K4" s="2" t="s">
        <v>5</v>
      </c>
      <c r="L4" s="3" t="s">
        <v>24</v>
      </c>
      <c r="M4" s="2" t="s">
        <v>22</v>
      </c>
      <c r="N4" s="2" t="s">
        <v>23</v>
      </c>
    </row>
    <row r="5" spans="2:14" x14ac:dyDescent="0.2">
      <c r="B5" s="4" t="str">
        <f t="shared" ref="B5:B6" si="0">D5&amp;" – "&amp;E5</f>
        <v>PCH – ATN</v>
      </c>
      <c r="C5" s="4" t="s">
        <v>6</v>
      </c>
      <c r="D5" s="4" t="s">
        <v>7</v>
      </c>
      <c r="E5" s="4" t="s">
        <v>8</v>
      </c>
      <c r="F5" s="4" t="s">
        <v>9</v>
      </c>
      <c r="G5" s="4">
        <v>158</v>
      </c>
      <c r="H5" s="4">
        <v>191</v>
      </c>
      <c r="I5" s="5">
        <v>-9.4600000000000004E-2</v>
      </c>
      <c r="J5" s="5">
        <v>5.3699999999999998E-2</v>
      </c>
      <c r="K5" s="5">
        <v>-1.7597</v>
      </c>
      <c r="L5" s="6" t="s">
        <v>10</v>
      </c>
      <c r="M5" s="4" t="s">
        <v>26</v>
      </c>
      <c r="N5" s="4" t="s">
        <v>10</v>
      </c>
    </row>
    <row r="6" spans="2:14" x14ac:dyDescent="0.2">
      <c r="B6" s="4" t="str">
        <f t="shared" si="0"/>
        <v>IST – ATN</v>
      </c>
      <c r="C6" s="7" t="s">
        <v>7</v>
      </c>
      <c r="D6" s="7" t="s">
        <v>6</v>
      </c>
      <c r="E6" s="7" t="s">
        <v>8</v>
      </c>
      <c r="F6" s="7" t="s">
        <v>9</v>
      </c>
      <c r="G6" s="7">
        <v>191</v>
      </c>
      <c r="H6" s="7">
        <v>158</v>
      </c>
      <c r="I6" s="10">
        <v>9.4600000000000004E-2</v>
      </c>
      <c r="J6" s="10">
        <v>5.3600000000000002E-2</v>
      </c>
      <c r="K6" s="10">
        <v>1.7639</v>
      </c>
      <c r="L6" s="7" t="s">
        <v>10</v>
      </c>
      <c r="M6" s="7" t="s">
        <v>26</v>
      </c>
      <c r="N6" s="7" t="s">
        <v>10</v>
      </c>
    </row>
    <row r="7" spans="2:14" x14ac:dyDescent="0.2">
      <c r="B7" s="4" t="str">
        <f t="shared" ref="B7:B8" si="1">D7&amp;" – "&amp;E7</f>
        <v>ISN – ATN</v>
      </c>
      <c r="C7" s="7" t="s">
        <v>7</v>
      </c>
      <c r="D7" s="7" t="s">
        <v>11</v>
      </c>
      <c r="E7" s="7" t="s">
        <v>8</v>
      </c>
      <c r="F7" s="7" t="s">
        <v>9</v>
      </c>
      <c r="G7" s="7">
        <v>217</v>
      </c>
      <c r="H7" s="7">
        <v>118</v>
      </c>
      <c r="I7" s="10">
        <v>0.29549999999999998</v>
      </c>
      <c r="J7" s="10">
        <v>5.1999999999999998E-2</v>
      </c>
      <c r="K7" s="11">
        <v>5.8162000000000003</v>
      </c>
      <c r="L7" s="12" t="s">
        <v>24</v>
      </c>
      <c r="M7" s="13" t="s">
        <v>25</v>
      </c>
      <c r="N7" s="13" t="s">
        <v>12</v>
      </c>
    </row>
    <row r="8" spans="2:14" x14ac:dyDescent="0.2">
      <c r="B8" s="4" t="str">
        <f t="shared" si="1"/>
        <v>PCH – ATN</v>
      </c>
      <c r="C8" s="7" t="s">
        <v>11</v>
      </c>
      <c r="D8" s="7" t="s">
        <v>7</v>
      </c>
      <c r="E8" s="7" t="s">
        <v>8</v>
      </c>
      <c r="F8" s="7" t="s">
        <v>9</v>
      </c>
      <c r="G8" s="7">
        <v>118</v>
      </c>
      <c r="H8" s="7">
        <v>217</v>
      </c>
      <c r="I8" s="10">
        <v>-0.29549999999999998</v>
      </c>
      <c r="J8" s="10">
        <v>5.0799999999999998E-2</v>
      </c>
      <c r="K8" s="10">
        <v>-5.8162000000000003</v>
      </c>
      <c r="L8" s="12" t="s">
        <v>24</v>
      </c>
      <c r="M8" s="7" t="s">
        <v>26</v>
      </c>
      <c r="N8" s="7"/>
    </row>
    <row r="9" spans="2:14" x14ac:dyDescent="0.2">
      <c r="B9" s="4" t="str">
        <f>D9&amp;" – "&amp;E9</f>
        <v>PSU – PNO</v>
      </c>
      <c r="C9" s="7" t="s">
        <v>7</v>
      </c>
      <c r="D9" s="7" t="s">
        <v>13</v>
      </c>
      <c r="E9" s="7" t="s">
        <v>14</v>
      </c>
      <c r="F9" s="7" t="s">
        <v>9</v>
      </c>
      <c r="G9" s="7">
        <v>171</v>
      </c>
      <c r="H9" s="7">
        <v>156</v>
      </c>
      <c r="I9" s="10">
        <v>4.5900000000000003E-2</v>
      </c>
      <c r="J9" s="10">
        <v>5.5300000000000002E-2</v>
      </c>
      <c r="K9" s="10">
        <v>0.8296</v>
      </c>
      <c r="L9" s="7" t="s">
        <v>10</v>
      </c>
      <c r="M9" s="7" t="s">
        <v>26</v>
      </c>
      <c r="N9" s="7"/>
    </row>
    <row r="10" spans="2:14" x14ac:dyDescent="0.2">
      <c r="B10" s="4" t="str">
        <f t="shared" ref="B10:B26" si="2">D10&amp;" – "&amp;E10</f>
        <v>PCE – PNO</v>
      </c>
      <c r="C10" s="7" t="s">
        <v>7</v>
      </c>
      <c r="D10" s="7" t="s">
        <v>15</v>
      </c>
      <c r="E10" s="7" t="s">
        <v>14</v>
      </c>
      <c r="F10" s="7" t="s">
        <v>9</v>
      </c>
      <c r="G10" s="7">
        <v>231</v>
      </c>
      <c r="H10" s="7">
        <v>155</v>
      </c>
      <c r="I10" s="10">
        <v>0.19689999999999999</v>
      </c>
      <c r="J10" s="10">
        <v>4.9700000000000001E-2</v>
      </c>
      <c r="K10" s="11">
        <v>3.9632999999999998</v>
      </c>
      <c r="L10" s="12" t="s">
        <v>24</v>
      </c>
      <c r="M10" s="13" t="s">
        <v>25</v>
      </c>
      <c r="N10" s="13" t="s">
        <v>16</v>
      </c>
    </row>
    <row r="11" spans="2:14" x14ac:dyDescent="0.2">
      <c r="B11" s="4" t="str">
        <f t="shared" si="2"/>
        <v>POO – PNO</v>
      </c>
      <c r="C11" s="7" t="s">
        <v>7</v>
      </c>
      <c r="D11" s="7" t="s">
        <v>17</v>
      </c>
      <c r="E11" s="7" t="s">
        <v>14</v>
      </c>
      <c r="F11" s="7" t="s">
        <v>9</v>
      </c>
      <c r="G11" s="7">
        <v>220</v>
      </c>
      <c r="H11" s="7">
        <v>203</v>
      </c>
      <c r="I11" s="10">
        <v>4.02E-2</v>
      </c>
      <c r="J11" s="10">
        <v>4.7800000000000002E-2</v>
      </c>
      <c r="K11" s="10">
        <v>0.84079999999999999</v>
      </c>
      <c r="L11" s="7" t="s">
        <v>10</v>
      </c>
      <c r="M11" s="7" t="s">
        <v>26</v>
      </c>
      <c r="N11" s="7"/>
    </row>
    <row r="12" spans="2:14" x14ac:dyDescent="0.2">
      <c r="B12" s="4" t="str">
        <f t="shared" si="2"/>
        <v>IST – PNO</v>
      </c>
      <c r="C12" s="7" t="s">
        <v>7</v>
      </c>
      <c r="D12" s="7" t="s">
        <v>6</v>
      </c>
      <c r="E12" s="7" t="s">
        <v>14</v>
      </c>
      <c r="F12" s="7" t="s">
        <v>9</v>
      </c>
      <c r="G12" s="7">
        <v>116</v>
      </c>
      <c r="H12" s="7">
        <v>98</v>
      </c>
      <c r="I12" s="10">
        <v>8.4099999999999994E-2</v>
      </c>
      <c r="J12" s="10">
        <v>6.6100000000000006E-2</v>
      </c>
      <c r="K12" s="10">
        <v>1.2727999999999999</v>
      </c>
      <c r="L12" s="7" t="s">
        <v>10</v>
      </c>
      <c r="M12" s="7" t="s">
        <v>26</v>
      </c>
      <c r="N12" s="7"/>
    </row>
    <row r="13" spans="2:14" x14ac:dyDescent="0.2">
      <c r="B13" s="4" t="str">
        <f t="shared" si="2"/>
        <v>ISN – PNO</v>
      </c>
      <c r="C13" s="7" t="s">
        <v>7</v>
      </c>
      <c r="D13" s="7" t="s">
        <v>11</v>
      </c>
      <c r="E13" s="7" t="s">
        <v>14</v>
      </c>
      <c r="F13" s="7" t="s">
        <v>9</v>
      </c>
      <c r="G13" s="7">
        <v>81</v>
      </c>
      <c r="H13" s="7">
        <v>90</v>
      </c>
      <c r="I13" s="10">
        <v>-5.2600000000000001E-2</v>
      </c>
      <c r="J13" s="10">
        <v>7.5899999999999995E-2</v>
      </c>
      <c r="K13" s="10">
        <v>-0.69359999999999999</v>
      </c>
      <c r="L13" s="7" t="s">
        <v>10</v>
      </c>
      <c r="M13" s="7" t="s">
        <v>26</v>
      </c>
      <c r="N13" s="7"/>
    </row>
    <row r="14" spans="2:14" x14ac:dyDescent="0.2">
      <c r="B14" s="4" t="str">
        <f t="shared" si="2"/>
        <v>ACE – PNO</v>
      </c>
      <c r="C14" s="7" t="s">
        <v>7</v>
      </c>
      <c r="D14" s="7" t="s">
        <v>18</v>
      </c>
      <c r="E14" s="7" t="s">
        <v>14</v>
      </c>
      <c r="F14" s="7" t="s">
        <v>9</v>
      </c>
      <c r="G14" s="7">
        <v>121</v>
      </c>
      <c r="H14" s="7">
        <v>109</v>
      </c>
      <c r="I14" s="10">
        <v>5.2200000000000003E-2</v>
      </c>
      <c r="J14" s="10">
        <v>6.4000000000000001E-2</v>
      </c>
      <c r="K14" s="10">
        <v>0.81540000000000001</v>
      </c>
      <c r="L14" s="7" t="s">
        <v>10</v>
      </c>
      <c r="M14" s="7" t="s">
        <v>26</v>
      </c>
      <c r="N14" s="7"/>
    </row>
    <row r="15" spans="2:14" x14ac:dyDescent="0.2">
      <c r="B15" s="4" t="str">
        <f t="shared" si="2"/>
        <v>POR – PNO</v>
      </c>
      <c r="C15" s="7" t="s">
        <v>7</v>
      </c>
      <c r="D15" s="7" t="s">
        <v>19</v>
      </c>
      <c r="E15" s="7" t="s">
        <v>14</v>
      </c>
      <c r="F15" s="7" t="s">
        <v>9</v>
      </c>
      <c r="G15" s="7">
        <v>211</v>
      </c>
      <c r="H15" s="7">
        <v>200</v>
      </c>
      <c r="I15" s="10">
        <v>2.6800000000000001E-2</v>
      </c>
      <c r="J15" s="10">
        <v>4.8899999999999999E-2</v>
      </c>
      <c r="K15" s="10">
        <v>0.54759999999999998</v>
      </c>
      <c r="L15" s="7" t="s">
        <v>10</v>
      </c>
      <c r="M15" s="7" t="s">
        <v>26</v>
      </c>
      <c r="N15" s="7"/>
    </row>
    <row r="16" spans="2:14" x14ac:dyDescent="0.2">
      <c r="B16" s="4" t="str">
        <f t="shared" si="2"/>
        <v>ACO – PNO</v>
      </c>
      <c r="C16" s="7" t="s">
        <v>7</v>
      </c>
      <c r="D16" s="7" t="s">
        <v>20</v>
      </c>
      <c r="E16" s="7" t="s">
        <v>14</v>
      </c>
      <c r="F16" s="7" t="s">
        <v>9</v>
      </c>
      <c r="G16" s="7">
        <v>126</v>
      </c>
      <c r="H16" s="7">
        <v>115</v>
      </c>
      <c r="I16" s="10">
        <v>4.5600000000000002E-2</v>
      </c>
      <c r="J16" s="10">
        <v>6.0499999999999998E-2</v>
      </c>
      <c r="K16" s="10">
        <v>0.75380000000000003</v>
      </c>
      <c r="L16" s="7" t="s">
        <v>10</v>
      </c>
      <c r="M16" s="7" t="s">
        <v>26</v>
      </c>
      <c r="N16" s="7"/>
    </row>
    <row r="17" spans="2:14" x14ac:dyDescent="0.2">
      <c r="B17" s="4" t="str">
        <f t="shared" si="2"/>
        <v>ATN – PNO</v>
      </c>
      <c r="C17" s="7" t="s">
        <v>7</v>
      </c>
      <c r="D17" s="7" t="s">
        <v>8</v>
      </c>
      <c r="E17" s="7" t="s">
        <v>14</v>
      </c>
      <c r="F17" s="7" t="s">
        <v>9</v>
      </c>
      <c r="G17" s="7">
        <v>82</v>
      </c>
      <c r="H17" s="7">
        <v>81</v>
      </c>
      <c r="I17" s="10">
        <v>6.1000000000000004E-3</v>
      </c>
      <c r="J17" s="10">
        <v>7.6899999999999996E-2</v>
      </c>
      <c r="K17" s="10">
        <v>7.9799999999999996E-2</v>
      </c>
      <c r="L17" s="7" t="s">
        <v>10</v>
      </c>
      <c r="M17" s="7" t="s">
        <v>26</v>
      </c>
      <c r="N17" s="7"/>
    </row>
    <row r="18" spans="2:14" x14ac:dyDescent="0.2">
      <c r="B18" s="4" t="str">
        <f t="shared" si="2"/>
        <v>PCH – PNO</v>
      </c>
      <c r="C18" s="7" t="s">
        <v>13</v>
      </c>
      <c r="D18" s="7" t="s">
        <v>7</v>
      </c>
      <c r="E18" s="7" t="s">
        <v>14</v>
      </c>
      <c r="F18" s="7" t="s">
        <v>9</v>
      </c>
      <c r="G18" s="7">
        <v>156</v>
      </c>
      <c r="H18" s="7">
        <v>171</v>
      </c>
      <c r="I18" s="10">
        <v>-4.5900000000000003E-2</v>
      </c>
      <c r="J18" s="10">
        <v>5.5899999999999998E-2</v>
      </c>
      <c r="K18" s="10">
        <v>-0.82120000000000004</v>
      </c>
      <c r="L18" s="7" t="s">
        <v>10</v>
      </c>
      <c r="M18" s="7" t="s">
        <v>26</v>
      </c>
      <c r="N18" s="7"/>
    </row>
    <row r="19" spans="2:14" x14ac:dyDescent="0.2">
      <c r="B19" s="4" t="str">
        <f t="shared" si="2"/>
        <v>PCH – PNO</v>
      </c>
      <c r="C19" s="7" t="s">
        <v>15</v>
      </c>
      <c r="D19" s="7" t="s">
        <v>7</v>
      </c>
      <c r="E19" s="7" t="s">
        <v>14</v>
      </c>
      <c r="F19" s="7" t="s">
        <v>9</v>
      </c>
      <c r="G19" s="7">
        <v>155</v>
      </c>
      <c r="H19" s="7">
        <v>231</v>
      </c>
      <c r="I19" s="10">
        <v>-0.19689999999999999</v>
      </c>
      <c r="J19" s="10">
        <v>5.0299999999999997E-2</v>
      </c>
      <c r="K19" s="11">
        <v>-3.9133</v>
      </c>
      <c r="L19" s="12" t="s">
        <v>24</v>
      </c>
      <c r="M19" s="13" t="s">
        <v>26</v>
      </c>
      <c r="N19" s="13" t="s">
        <v>16</v>
      </c>
    </row>
    <row r="20" spans="2:14" x14ac:dyDescent="0.2">
      <c r="B20" s="4" t="str">
        <f t="shared" si="2"/>
        <v>PCH – PNO</v>
      </c>
      <c r="C20" s="7" t="s">
        <v>17</v>
      </c>
      <c r="D20" s="7" t="s">
        <v>7</v>
      </c>
      <c r="E20" s="7" t="s">
        <v>14</v>
      </c>
      <c r="F20" s="7" t="s">
        <v>9</v>
      </c>
      <c r="G20" s="7">
        <v>203</v>
      </c>
      <c r="H20" s="7">
        <v>220</v>
      </c>
      <c r="I20" s="10">
        <v>-4.02E-2</v>
      </c>
      <c r="J20" s="10">
        <v>4.8599999999999997E-2</v>
      </c>
      <c r="K20" s="10">
        <v>-0.82730000000000004</v>
      </c>
      <c r="L20" s="7" t="s">
        <v>10</v>
      </c>
      <c r="M20" s="7" t="s">
        <v>26</v>
      </c>
      <c r="N20" s="7"/>
    </row>
    <row r="21" spans="2:14" x14ac:dyDescent="0.2">
      <c r="B21" s="4" t="str">
        <f t="shared" si="2"/>
        <v>PCH – PNO</v>
      </c>
      <c r="C21" s="7" t="s">
        <v>6</v>
      </c>
      <c r="D21" s="7" t="s">
        <v>7</v>
      </c>
      <c r="E21" s="7" t="s">
        <v>14</v>
      </c>
      <c r="F21" s="7" t="s">
        <v>9</v>
      </c>
      <c r="G21" s="7">
        <v>98</v>
      </c>
      <c r="H21" s="7">
        <v>116</v>
      </c>
      <c r="I21" s="10">
        <v>-8.4099999999999994E-2</v>
      </c>
      <c r="J21" s="10">
        <v>6.9900000000000004E-2</v>
      </c>
      <c r="K21" s="10">
        <v>-1.2727999999999999</v>
      </c>
      <c r="L21" s="7" t="s">
        <v>10</v>
      </c>
      <c r="M21" s="7" t="s">
        <v>26</v>
      </c>
      <c r="N21" s="7"/>
    </row>
    <row r="22" spans="2:14" x14ac:dyDescent="0.2">
      <c r="B22" s="4" t="str">
        <f t="shared" si="2"/>
        <v xml:space="preserve">PCH – PNO </v>
      </c>
      <c r="C22" s="7" t="s">
        <v>11</v>
      </c>
      <c r="D22" s="7" t="s">
        <v>7</v>
      </c>
      <c r="E22" s="7" t="s">
        <v>21</v>
      </c>
      <c r="F22" s="7" t="s">
        <v>9</v>
      </c>
      <c r="G22" s="7">
        <v>90</v>
      </c>
      <c r="H22" s="7">
        <v>81</v>
      </c>
      <c r="I22" s="10">
        <v>5.2600000000000001E-2</v>
      </c>
      <c r="J22" s="10">
        <v>7.6499999999999999E-2</v>
      </c>
      <c r="K22" s="10">
        <v>0.68810000000000004</v>
      </c>
      <c r="L22" s="7" t="s">
        <v>10</v>
      </c>
      <c r="M22" s="7" t="s">
        <v>26</v>
      </c>
      <c r="N22" s="7"/>
    </row>
    <row r="23" spans="2:14" x14ac:dyDescent="0.2">
      <c r="B23" s="4" t="str">
        <f t="shared" si="2"/>
        <v>PCH – PNO</v>
      </c>
      <c r="C23" s="7" t="s">
        <v>18</v>
      </c>
      <c r="D23" s="7" t="s">
        <v>7</v>
      </c>
      <c r="E23" s="7" t="s">
        <v>14</v>
      </c>
      <c r="F23" s="7" t="s">
        <v>9</v>
      </c>
      <c r="G23" s="7">
        <v>109</v>
      </c>
      <c r="H23" s="7">
        <v>121</v>
      </c>
      <c r="I23" s="10">
        <v>-5.2200000000000003E-2</v>
      </c>
      <c r="J23" s="10">
        <v>6.5500000000000003E-2</v>
      </c>
      <c r="K23" s="10">
        <v>-0.79600000000000004</v>
      </c>
      <c r="L23" s="7" t="s">
        <v>10</v>
      </c>
      <c r="M23" s="7" t="s">
        <v>26</v>
      </c>
      <c r="N23" s="7"/>
    </row>
    <row r="24" spans="2:14" x14ac:dyDescent="0.2">
      <c r="B24" s="4" t="str">
        <f t="shared" si="2"/>
        <v>PCH – PNO</v>
      </c>
      <c r="C24" s="7" t="s">
        <v>19</v>
      </c>
      <c r="D24" s="7" t="s">
        <v>7</v>
      </c>
      <c r="E24" s="7" t="s">
        <v>14</v>
      </c>
      <c r="F24" s="7" t="s">
        <v>9</v>
      </c>
      <c r="G24" s="7">
        <v>200</v>
      </c>
      <c r="H24" s="7">
        <v>211</v>
      </c>
      <c r="I24" s="10">
        <v>-2.6800000000000001E-2</v>
      </c>
      <c r="J24" s="10">
        <v>4.9299999999999997E-2</v>
      </c>
      <c r="K24" s="10">
        <v>-0.54249999999999998</v>
      </c>
      <c r="L24" s="7" t="s">
        <v>10</v>
      </c>
      <c r="M24" s="7" t="s">
        <v>26</v>
      </c>
      <c r="N24" s="7"/>
    </row>
    <row r="25" spans="2:14" x14ac:dyDescent="0.2">
      <c r="B25" s="4" t="str">
        <f t="shared" si="2"/>
        <v>PCH – PNO</v>
      </c>
      <c r="C25" s="7" t="s">
        <v>20</v>
      </c>
      <c r="D25" s="7" t="s">
        <v>7</v>
      </c>
      <c r="E25" s="7" t="s">
        <v>14</v>
      </c>
      <c r="F25" s="7" t="s">
        <v>9</v>
      </c>
      <c r="G25" s="7">
        <v>115</v>
      </c>
      <c r="H25" s="7">
        <v>126</v>
      </c>
      <c r="I25" s="10">
        <v>-4.5600000000000002E-2</v>
      </c>
      <c r="J25" s="10">
        <v>6.4500000000000002E-2</v>
      </c>
      <c r="K25" s="10">
        <v>-0.70789999999999997</v>
      </c>
      <c r="L25" s="7" t="s">
        <v>10</v>
      </c>
      <c r="M25" s="7" t="s">
        <v>26</v>
      </c>
      <c r="N25" s="7"/>
    </row>
    <row r="26" spans="2:14" x14ac:dyDescent="0.2">
      <c r="B26" s="4" t="str">
        <f t="shared" si="2"/>
        <v>PCH – PNO</v>
      </c>
      <c r="C26" s="7" t="s">
        <v>8</v>
      </c>
      <c r="D26" s="7" t="s">
        <v>7</v>
      </c>
      <c r="E26" s="7" t="s">
        <v>14</v>
      </c>
      <c r="F26" s="7" t="s">
        <v>9</v>
      </c>
      <c r="G26" s="7">
        <v>81</v>
      </c>
      <c r="H26" s="7">
        <v>82</v>
      </c>
      <c r="I26" s="10">
        <v>-6.1000000000000004E-3</v>
      </c>
      <c r="J26" s="10">
        <v>7.7799999999999994E-2</v>
      </c>
      <c r="K26" s="10">
        <v>-7.8899999999999998E-2</v>
      </c>
      <c r="L26" s="7" t="s">
        <v>10</v>
      </c>
      <c r="M26" s="7" t="s">
        <v>26</v>
      </c>
      <c r="N26" s="7"/>
    </row>
    <row r="27" spans="2:14" x14ac:dyDescent="0.2">
      <c r="B27" s="4" t="str">
        <f>D27&amp;" – "&amp;E27</f>
        <v>PSU – PNO</v>
      </c>
      <c r="C27" s="7" t="s">
        <v>8</v>
      </c>
      <c r="D27" s="7" t="s">
        <v>13</v>
      </c>
      <c r="E27" s="7" t="s">
        <v>14</v>
      </c>
      <c r="F27" s="7" t="s">
        <v>9</v>
      </c>
      <c r="G27" s="7">
        <v>167</v>
      </c>
      <c r="H27" s="7">
        <v>161</v>
      </c>
      <c r="I27" s="10">
        <v>1.83E-2</v>
      </c>
      <c r="J27" s="10">
        <v>5.4199999999999998E-2</v>
      </c>
      <c r="K27" s="10">
        <v>0.33750000000000002</v>
      </c>
      <c r="L27" s="7" t="s">
        <v>10</v>
      </c>
      <c r="M27" s="7" t="s">
        <v>26</v>
      </c>
      <c r="N27" s="7"/>
    </row>
    <row r="28" spans="2:14" x14ac:dyDescent="0.2">
      <c r="B28" s="4" t="str">
        <f t="shared" ref="B28:B44" si="3">D28&amp;" – "&amp;E28</f>
        <v>PCE – PNO</v>
      </c>
      <c r="C28" s="7" t="s">
        <v>8</v>
      </c>
      <c r="D28" s="7" t="s">
        <v>15</v>
      </c>
      <c r="E28" s="7" t="s">
        <v>14</v>
      </c>
      <c r="F28" s="7" t="s">
        <v>9</v>
      </c>
      <c r="G28" s="7">
        <v>222</v>
      </c>
      <c r="H28" s="7">
        <v>152</v>
      </c>
      <c r="I28" s="10">
        <v>0.1875</v>
      </c>
      <c r="J28" s="10">
        <v>0.05</v>
      </c>
      <c r="K28" s="11">
        <v>3.7427000000000001</v>
      </c>
      <c r="L28" s="12" t="s">
        <v>24</v>
      </c>
      <c r="M28" s="13" t="s">
        <v>25</v>
      </c>
      <c r="N28" s="13" t="s">
        <v>16</v>
      </c>
    </row>
    <row r="29" spans="2:14" x14ac:dyDescent="0.2">
      <c r="B29" s="4" t="str">
        <f t="shared" si="3"/>
        <v>PCH – PNO</v>
      </c>
      <c r="C29" s="7" t="s">
        <v>8</v>
      </c>
      <c r="D29" s="7" t="s">
        <v>7</v>
      </c>
      <c r="E29" s="7" t="s">
        <v>14</v>
      </c>
      <c r="F29" s="7" t="s">
        <v>9</v>
      </c>
      <c r="G29" s="7">
        <v>81</v>
      </c>
      <c r="H29" s="7">
        <v>82</v>
      </c>
      <c r="I29" s="10">
        <v>-6.1000000000000004E-3</v>
      </c>
      <c r="J29" s="10">
        <v>8.0799999999999997E-2</v>
      </c>
      <c r="K29" s="10">
        <v>-7.5899999999999995E-2</v>
      </c>
      <c r="L29" s="7" t="s">
        <v>10</v>
      </c>
      <c r="M29" s="7" t="s">
        <v>26</v>
      </c>
      <c r="N29" s="7"/>
    </row>
    <row r="30" spans="2:14" x14ac:dyDescent="0.2">
      <c r="B30" s="4" t="str">
        <f t="shared" si="3"/>
        <v>POO – PNO</v>
      </c>
      <c r="C30" s="7" t="s">
        <v>8</v>
      </c>
      <c r="D30" s="7" t="s">
        <v>17</v>
      </c>
      <c r="E30" s="7" t="s">
        <v>14</v>
      </c>
      <c r="F30" s="7" t="s">
        <v>9</v>
      </c>
      <c r="G30" s="7">
        <v>195</v>
      </c>
      <c r="H30" s="7">
        <v>155</v>
      </c>
      <c r="I30" s="10">
        <v>0.1143</v>
      </c>
      <c r="J30" s="10">
        <v>5.2400000000000002E-2</v>
      </c>
      <c r="K30" s="10">
        <v>2.1795</v>
      </c>
      <c r="L30" s="7" t="s">
        <v>10</v>
      </c>
      <c r="M30" s="7" t="s">
        <v>26</v>
      </c>
      <c r="N30" s="7"/>
    </row>
    <row r="31" spans="2:14" x14ac:dyDescent="0.2">
      <c r="B31" s="4" t="str">
        <f t="shared" si="3"/>
        <v>IST – PNO</v>
      </c>
      <c r="C31" s="7" t="s">
        <v>8</v>
      </c>
      <c r="D31" s="7" t="s">
        <v>6</v>
      </c>
      <c r="E31" s="7" t="s">
        <v>14</v>
      </c>
      <c r="F31" s="7" t="s">
        <v>9</v>
      </c>
      <c r="G31" s="7">
        <v>117</v>
      </c>
      <c r="H31" s="7">
        <v>80</v>
      </c>
      <c r="I31" s="10">
        <v>0.18779999999999999</v>
      </c>
      <c r="J31" s="10">
        <v>7.0199999999999999E-2</v>
      </c>
      <c r="K31" s="10">
        <v>2.6766999999999999</v>
      </c>
      <c r="L31" s="7" t="s">
        <v>10</v>
      </c>
      <c r="M31" s="7" t="s">
        <v>26</v>
      </c>
      <c r="N31" s="7"/>
    </row>
    <row r="32" spans="2:14" x14ac:dyDescent="0.2">
      <c r="B32" s="4" t="str">
        <f t="shared" si="3"/>
        <v>ISN – PNO</v>
      </c>
      <c r="C32" s="7" t="s">
        <v>8</v>
      </c>
      <c r="D32" s="7" t="s">
        <v>11</v>
      </c>
      <c r="E32" s="7" t="s">
        <v>14</v>
      </c>
      <c r="F32" s="7" t="s">
        <v>9</v>
      </c>
      <c r="G32" s="7">
        <v>93</v>
      </c>
      <c r="H32" s="7">
        <v>97</v>
      </c>
      <c r="I32" s="10">
        <v>-2.1100000000000001E-2</v>
      </c>
      <c r="J32" s="10">
        <v>7.1499999999999994E-2</v>
      </c>
      <c r="K32" s="10">
        <v>-0.29449999999999998</v>
      </c>
      <c r="L32" s="7" t="s">
        <v>10</v>
      </c>
      <c r="M32" s="7" t="s">
        <v>26</v>
      </c>
      <c r="N32" s="7"/>
    </row>
    <row r="33" spans="2:14" x14ac:dyDescent="0.2">
      <c r="B33" s="4" t="str">
        <f t="shared" si="3"/>
        <v>ACE – PNO</v>
      </c>
      <c r="C33" s="7" t="s">
        <v>8</v>
      </c>
      <c r="D33" s="7" t="s">
        <v>18</v>
      </c>
      <c r="E33" s="7" t="s">
        <v>14</v>
      </c>
      <c r="F33" s="7" t="s">
        <v>9</v>
      </c>
      <c r="G33" s="7">
        <v>109</v>
      </c>
      <c r="H33" s="7">
        <v>97</v>
      </c>
      <c r="I33" s="10">
        <v>5.8299999999999998E-2</v>
      </c>
      <c r="J33" s="10">
        <v>7.0199999999999999E-2</v>
      </c>
      <c r="K33" s="10">
        <v>0.83</v>
      </c>
      <c r="L33" s="7" t="s">
        <v>10</v>
      </c>
      <c r="M33" s="7" t="s">
        <v>26</v>
      </c>
      <c r="N33" s="7"/>
    </row>
    <row r="34" spans="2:14" x14ac:dyDescent="0.2">
      <c r="B34" s="4" t="str">
        <f t="shared" si="3"/>
        <v>POR – PNO</v>
      </c>
      <c r="C34" s="7" t="s">
        <v>8</v>
      </c>
      <c r="D34" s="7" t="s">
        <v>19</v>
      </c>
      <c r="E34" s="7" t="s">
        <v>14</v>
      </c>
      <c r="F34" s="7" t="s">
        <v>9</v>
      </c>
      <c r="G34" s="7">
        <v>191</v>
      </c>
      <c r="H34" s="7">
        <v>168</v>
      </c>
      <c r="I34" s="10">
        <v>6.4100000000000004E-2</v>
      </c>
      <c r="J34" s="10">
        <v>5.3400000000000003E-2</v>
      </c>
      <c r="K34" s="10">
        <v>1.1993</v>
      </c>
      <c r="L34" s="7" t="s">
        <v>10</v>
      </c>
      <c r="M34" s="7" t="s">
        <v>26</v>
      </c>
      <c r="N34" s="7"/>
    </row>
    <row r="35" spans="2:14" x14ac:dyDescent="0.2">
      <c r="B35" s="4" t="str">
        <f t="shared" si="3"/>
        <v>ACO – PNO</v>
      </c>
      <c r="C35" s="7" t="s">
        <v>8</v>
      </c>
      <c r="D35" s="7" t="s">
        <v>20</v>
      </c>
      <c r="E35" s="7" t="s">
        <v>14</v>
      </c>
      <c r="F35" s="7" t="s">
        <v>9</v>
      </c>
      <c r="G35" s="7">
        <v>123</v>
      </c>
      <c r="H35" s="7">
        <v>111</v>
      </c>
      <c r="I35" s="10">
        <v>5.1299999999999998E-2</v>
      </c>
      <c r="J35" s="10">
        <v>6.5699999999999995E-2</v>
      </c>
      <c r="K35" s="10">
        <v>0.78080000000000005</v>
      </c>
      <c r="L35" s="7" t="s">
        <v>10</v>
      </c>
      <c r="M35" s="7" t="s">
        <v>26</v>
      </c>
      <c r="N35" s="7"/>
    </row>
    <row r="36" spans="2:14" x14ac:dyDescent="0.2">
      <c r="B36" s="4" t="str">
        <f t="shared" si="3"/>
        <v>ATN – PNO</v>
      </c>
      <c r="C36" s="7" t="s">
        <v>13</v>
      </c>
      <c r="D36" s="7" t="s">
        <v>8</v>
      </c>
      <c r="E36" s="7" t="s">
        <v>14</v>
      </c>
      <c r="F36" s="7" t="s">
        <v>9</v>
      </c>
      <c r="G36" s="7">
        <v>161</v>
      </c>
      <c r="H36" s="7">
        <v>167</v>
      </c>
      <c r="I36" s="10">
        <v>-1.83E-2</v>
      </c>
      <c r="J36" s="10">
        <v>5.4199999999999998E-2</v>
      </c>
      <c r="K36" s="10">
        <v>-0.33750000000000002</v>
      </c>
      <c r="L36" s="7" t="s">
        <v>10</v>
      </c>
      <c r="M36" s="7" t="s">
        <v>26</v>
      </c>
      <c r="N36" s="7"/>
    </row>
    <row r="37" spans="2:14" x14ac:dyDescent="0.2">
      <c r="B37" s="4" t="str">
        <f t="shared" si="3"/>
        <v>ATN – PNO</v>
      </c>
      <c r="C37" s="7" t="s">
        <v>15</v>
      </c>
      <c r="D37" s="7" t="s">
        <v>8</v>
      </c>
      <c r="E37" s="7" t="s">
        <v>14</v>
      </c>
      <c r="F37" s="7" t="s">
        <v>9</v>
      </c>
      <c r="G37" s="7">
        <v>152</v>
      </c>
      <c r="H37" s="7">
        <v>222</v>
      </c>
      <c r="I37" s="10">
        <v>-0.18720000000000001</v>
      </c>
      <c r="J37" s="10">
        <v>0.05</v>
      </c>
      <c r="K37" s="11">
        <v>-3.7427000000000001</v>
      </c>
      <c r="L37" s="12" t="s">
        <v>24</v>
      </c>
      <c r="M37" s="13" t="s">
        <v>26</v>
      </c>
      <c r="N37" s="13" t="s">
        <v>16</v>
      </c>
    </row>
    <row r="38" spans="2:14" x14ac:dyDescent="0.2">
      <c r="B38" s="4" t="str">
        <f t="shared" si="3"/>
        <v>ATN – PNO</v>
      </c>
      <c r="C38" s="7" t="s">
        <v>7</v>
      </c>
      <c r="D38" s="7" t="s">
        <v>8</v>
      </c>
      <c r="E38" s="7" t="s">
        <v>14</v>
      </c>
      <c r="F38" s="7" t="s">
        <v>9</v>
      </c>
      <c r="G38" s="7">
        <v>82</v>
      </c>
      <c r="H38" s="7">
        <v>81</v>
      </c>
      <c r="I38" s="10">
        <v>6.1000000000000004E-3</v>
      </c>
      <c r="J38" s="10">
        <v>8.0799999999999997E-2</v>
      </c>
      <c r="K38" s="10">
        <v>7.5899999999999995E-2</v>
      </c>
      <c r="L38" s="7" t="s">
        <v>10</v>
      </c>
      <c r="M38" s="7" t="s">
        <v>26</v>
      </c>
      <c r="N38" s="7"/>
    </row>
    <row r="39" spans="2:14" x14ac:dyDescent="0.2">
      <c r="B39" s="4" t="str">
        <f t="shared" si="3"/>
        <v>ATN – PNO</v>
      </c>
      <c r="C39" s="7" t="s">
        <v>17</v>
      </c>
      <c r="D39" s="7" t="s">
        <v>8</v>
      </c>
      <c r="E39" s="7" t="s">
        <v>14</v>
      </c>
      <c r="F39" s="7" t="s">
        <v>9</v>
      </c>
      <c r="G39" s="7">
        <v>155</v>
      </c>
      <c r="H39" s="7">
        <v>195</v>
      </c>
      <c r="I39" s="10">
        <v>-0.1143</v>
      </c>
      <c r="J39" s="10">
        <v>5.2400000000000002E-2</v>
      </c>
      <c r="K39" s="10">
        <v>-2.1795</v>
      </c>
      <c r="L39" s="7" t="s">
        <v>10</v>
      </c>
      <c r="M39" s="7" t="s">
        <v>26</v>
      </c>
      <c r="N39" s="7"/>
    </row>
    <row r="40" spans="2:14" x14ac:dyDescent="0.2">
      <c r="B40" s="4" t="str">
        <f t="shared" si="3"/>
        <v>ATN – PNO</v>
      </c>
      <c r="C40" s="7" t="s">
        <v>6</v>
      </c>
      <c r="D40" s="7" t="s">
        <v>8</v>
      </c>
      <c r="E40" s="7" t="s">
        <v>14</v>
      </c>
      <c r="F40" s="7" t="s">
        <v>9</v>
      </c>
      <c r="G40" s="7">
        <v>80</v>
      </c>
      <c r="H40" s="7">
        <v>117</v>
      </c>
      <c r="I40" s="10">
        <v>-0.18779999999999999</v>
      </c>
      <c r="J40" s="10">
        <v>7.0199999999999999E-2</v>
      </c>
      <c r="K40" s="10">
        <v>-2.6766999999999999</v>
      </c>
      <c r="L40" s="7" t="s">
        <v>10</v>
      </c>
      <c r="M40" s="7" t="s">
        <v>26</v>
      </c>
      <c r="N40" s="7"/>
    </row>
    <row r="41" spans="2:14" x14ac:dyDescent="0.2">
      <c r="B41" s="4" t="str">
        <f t="shared" si="3"/>
        <v>ATN – PNO</v>
      </c>
      <c r="C41" s="7" t="s">
        <v>11</v>
      </c>
      <c r="D41" s="7" t="s">
        <v>8</v>
      </c>
      <c r="E41" s="7" t="s">
        <v>14</v>
      </c>
      <c r="F41" s="7" t="s">
        <v>9</v>
      </c>
      <c r="G41" s="7">
        <v>97</v>
      </c>
      <c r="H41" s="7">
        <v>93</v>
      </c>
      <c r="I41" s="10">
        <v>2.1100000000000001E-2</v>
      </c>
      <c r="J41" s="10">
        <v>7.1499999999999994E-2</v>
      </c>
      <c r="K41" s="10">
        <v>0.29449999999999998</v>
      </c>
      <c r="L41" s="7" t="s">
        <v>10</v>
      </c>
      <c r="M41" s="7" t="s">
        <v>26</v>
      </c>
      <c r="N41" s="7"/>
    </row>
    <row r="42" spans="2:14" x14ac:dyDescent="0.2">
      <c r="B42" s="4" t="str">
        <f t="shared" si="3"/>
        <v>ATN – PNO</v>
      </c>
      <c r="C42" s="7" t="s">
        <v>18</v>
      </c>
      <c r="D42" s="7" t="s">
        <v>8</v>
      </c>
      <c r="E42" s="7" t="s">
        <v>14</v>
      </c>
      <c r="F42" s="7" t="s">
        <v>9</v>
      </c>
      <c r="G42" s="7">
        <v>97</v>
      </c>
      <c r="H42" s="7">
        <v>109</v>
      </c>
      <c r="I42" s="10">
        <v>-5.8299999999999998E-2</v>
      </c>
      <c r="J42" s="10">
        <v>7.0199999999999999E-2</v>
      </c>
      <c r="K42" s="10">
        <v>-0.83</v>
      </c>
      <c r="L42" s="7" t="s">
        <v>10</v>
      </c>
      <c r="M42" s="7" t="s">
        <v>26</v>
      </c>
      <c r="N42" s="7"/>
    </row>
    <row r="43" spans="2:14" x14ac:dyDescent="0.2">
      <c r="B43" s="4" t="str">
        <f t="shared" si="3"/>
        <v>ATN – PNO</v>
      </c>
      <c r="C43" s="7" t="s">
        <v>19</v>
      </c>
      <c r="D43" s="7" t="s">
        <v>8</v>
      </c>
      <c r="E43" s="7" t="s">
        <v>14</v>
      </c>
      <c r="F43" s="7" t="s">
        <v>9</v>
      </c>
      <c r="G43" s="7">
        <v>168</v>
      </c>
      <c r="H43" s="7">
        <v>191</v>
      </c>
      <c r="I43" s="10">
        <v>-6.4100000000000004E-2</v>
      </c>
      <c r="J43" s="10">
        <v>5.3400000000000003E-2</v>
      </c>
      <c r="K43" s="10">
        <v>-1.1993</v>
      </c>
      <c r="L43" s="7" t="s">
        <v>10</v>
      </c>
      <c r="M43" s="7" t="s">
        <v>26</v>
      </c>
      <c r="N43" s="7"/>
    </row>
    <row r="44" spans="2:14" x14ac:dyDescent="0.2">
      <c r="B44" s="8" t="str">
        <f t="shared" si="3"/>
        <v>ATN – PNO</v>
      </c>
      <c r="C44" s="9" t="s">
        <v>20</v>
      </c>
      <c r="D44" s="9" t="s">
        <v>8</v>
      </c>
      <c r="E44" s="9" t="s">
        <v>14</v>
      </c>
      <c r="F44" s="9" t="s">
        <v>9</v>
      </c>
      <c r="G44" s="9">
        <v>111</v>
      </c>
      <c r="H44" s="9">
        <v>123</v>
      </c>
      <c r="I44" s="14">
        <v>-5.1299999999999998E-2</v>
      </c>
      <c r="J44" s="14">
        <v>6.5699999999999995E-2</v>
      </c>
      <c r="K44" s="14">
        <v>-0.78080000000000005</v>
      </c>
      <c r="L44" s="9" t="s">
        <v>10</v>
      </c>
      <c r="M44" s="9" t="s">
        <v>26</v>
      </c>
      <c r="N44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Ivalu Cacho</dc:creator>
  <cp:lastModifiedBy>Itzel Piña de la Rosa</cp:lastModifiedBy>
  <dcterms:created xsi:type="dcterms:W3CDTF">2026-07-03T18:17:04Z</dcterms:created>
  <dcterms:modified xsi:type="dcterms:W3CDTF">2026-08-01T18:51:45Z</dcterms:modified>
</cp:coreProperties>
</file>